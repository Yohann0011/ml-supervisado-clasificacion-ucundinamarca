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NIVERSIDADES\UCundinamarca\PERÍODO_2026_2\ESP_INT_ARTIFICIAL_INTR_MACHINE_LEARNING\09_SEPT_22_2026\"/>
    </mc:Choice>
  </mc:AlternateContent>
  <xr:revisionPtr revIDLastSave="0" documentId="13_ncr:1_{E5B0BCE6-9D08-43A8-9CDA-A5171F62C05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os_y_Modelo" sheetId="1" r:id="rId1"/>
    <sheet name="Matriz_Algebraica_OLS" sheetId="2" r:id="rId2"/>
    <sheet name="Guia_Comparativa_Python" sheetId="3" r:id="rId3"/>
  </sheets>
  <calcPr calcId="191029"/>
</workbook>
</file>

<file path=xl/calcChain.xml><?xml version="1.0" encoding="utf-8"?>
<calcChain xmlns="http://schemas.openxmlformats.org/spreadsheetml/2006/main">
  <c r="I5" i="1" l="1"/>
  <c r="I4" i="1"/>
  <c r="I2" i="1"/>
  <c r="I3" i="1"/>
  <c r="G13" i="2"/>
  <c r="F13" i="2"/>
  <c r="B13" i="2"/>
  <c r="G12" i="2"/>
  <c r="F12" i="2"/>
  <c r="B12" i="2"/>
  <c r="G11" i="2"/>
  <c r="F11" i="2"/>
  <c r="B11" i="2"/>
  <c r="G10" i="2"/>
  <c r="F10" i="2"/>
  <c r="B10" i="2"/>
  <c r="G9" i="2"/>
  <c r="F9" i="2"/>
  <c r="B9" i="2"/>
  <c r="G8" i="2"/>
  <c r="F8" i="2"/>
  <c r="B8" i="2"/>
  <c r="G7" i="2"/>
  <c r="F7" i="2"/>
  <c r="B7" i="2"/>
  <c r="G6" i="2"/>
  <c r="F6" i="2"/>
  <c r="B6" i="2"/>
  <c r="G5" i="2"/>
  <c r="F5" i="2"/>
  <c r="B5" i="2"/>
  <c r="G4" i="2"/>
  <c r="F4" i="2"/>
  <c r="B4" i="2"/>
  <c r="G3" i="2"/>
  <c r="F3" i="2"/>
  <c r="B3" i="2"/>
  <c r="G2" i="2"/>
  <c r="F2" i="2"/>
  <c r="I2" i="2" s="1" a="1"/>
  <c r="B2" i="2"/>
  <c r="G5" i="1" a="1"/>
  <c r="G5" i="1" s="1"/>
  <c r="G4" i="1" a="1"/>
  <c r="G4" i="1" s="1"/>
  <c r="G3" i="1" a="1"/>
  <c r="G3" i="1" s="1"/>
  <c r="G2" i="1" a="1"/>
  <c r="G2" i="1" s="1"/>
  <c r="M6" i="1" l="1"/>
  <c r="N6" i="1" s="1"/>
  <c r="M13" i="1"/>
  <c r="N13" i="1" s="1"/>
  <c r="M9" i="1"/>
  <c r="N9" i="1" s="1"/>
  <c r="M8" i="1"/>
  <c r="N8" i="1" s="1"/>
  <c r="M11" i="1"/>
  <c r="N11" i="1" s="1"/>
  <c r="M7" i="1"/>
  <c r="N7" i="1" s="1"/>
  <c r="M4" i="1"/>
  <c r="N4" i="1" s="1"/>
  <c r="M2" i="1"/>
  <c r="N2" i="1" s="1"/>
  <c r="M10" i="1"/>
  <c r="N10" i="1" s="1"/>
  <c r="I9" i="1"/>
  <c r="M5" i="1"/>
  <c r="N5" i="1" s="1"/>
  <c r="M3" i="1"/>
  <c r="N3" i="1" s="1"/>
  <c r="M12" i="1"/>
  <c r="N12" i="1" s="1"/>
  <c r="T4" i="2"/>
  <c r="L4" i="2"/>
  <c r="P3" i="2"/>
  <c r="T2" i="2"/>
  <c r="L2" i="2"/>
  <c r="S4" i="2"/>
  <c r="K4" i="2"/>
  <c r="O3" i="2"/>
  <c r="S2" i="2"/>
  <c r="K2" i="2"/>
  <c r="Q4" i="2"/>
  <c r="I4" i="2"/>
  <c r="M3" i="2"/>
  <c r="P4" i="2"/>
  <c r="T3" i="2"/>
  <c r="L3" i="2"/>
  <c r="P2" i="2"/>
  <c r="I2" i="2"/>
  <c r="O4" i="2"/>
  <c r="S3" i="2"/>
  <c r="K3" i="2"/>
  <c r="O2" i="2"/>
  <c r="N4" i="2"/>
  <c r="R3" i="2"/>
  <c r="J3" i="2"/>
  <c r="N2" i="2"/>
  <c r="M4" i="2"/>
  <c r="Q3" i="2"/>
  <c r="I3" i="2"/>
  <c r="M2" i="2"/>
  <c r="R4" i="2"/>
  <c r="J4" i="2"/>
  <c r="N3" i="2"/>
  <c r="R2" i="2"/>
  <c r="J2" i="2"/>
  <c r="Q2" i="2"/>
  <c r="O7" i="2" l="1" a="1"/>
  <c r="I7" i="2" a="1"/>
  <c r="J9" i="2" l="1"/>
  <c r="I7" i="2"/>
  <c r="I9" i="2"/>
  <c r="J8" i="2"/>
  <c r="I8" i="2"/>
  <c r="K7" i="2"/>
  <c r="J7" i="2"/>
  <c r="K9" i="2"/>
  <c r="K8" i="2"/>
  <c r="O9" i="2"/>
  <c r="O8" i="2"/>
  <c r="O7" i="2"/>
  <c r="I12" i="2" l="1" a="1"/>
  <c r="K12" i="2" l="1"/>
  <c r="J12" i="2"/>
  <c r="J14" i="2"/>
  <c r="I12" i="2"/>
  <c r="I14" i="2"/>
  <c r="K13" i="2"/>
  <c r="J13" i="2"/>
  <c r="I13" i="2"/>
  <c r="K14" i="2"/>
  <c r="O12" i="2" l="1" a="1"/>
  <c r="O12" i="2" l="1"/>
  <c r="O14" i="2"/>
  <c r="O13" i="2"/>
</calcChain>
</file>

<file path=xl/sharedStrings.xml><?xml version="1.0" encoding="utf-8"?>
<sst xmlns="http://schemas.openxmlformats.org/spreadsheetml/2006/main" count="64" uniqueCount="58">
  <si>
    <t>ID</t>
  </si>
  <si>
    <t>Área (m²)</t>
  </si>
  <si>
    <t>Habitaciones</t>
  </si>
  <si>
    <t>Precio Real ($)</t>
  </si>
  <si>
    <t>Parámetro</t>
  </si>
  <si>
    <t>Valor</t>
  </si>
  <si>
    <t>Descripción</t>
  </si>
  <si>
    <t>Fórmula</t>
  </si>
  <si>
    <t>Precio Real</t>
  </si>
  <si>
    <t>Precio Predicho</t>
  </si>
  <si>
    <t>Residuo (Error)</t>
  </si>
  <si>
    <t>Beta 2 (Habitaciones)</t>
  </si>
  <si>
    <t>Coeficiente de Habitaciones</t>
  </si>
  <si>
    <t>Beta 1 (Área)</t>
  </si>
  <si>
    <t>Coeficiente de Área</t>
  </si>
  <si>
    <t>Beta 0 (Intercepto)</t>
  </si>
  <si>
    <t>Intercepto</t>
  </si>
  <si>
    <t>R²</t>
  </si>
  <si>
    <t>Coeficiente de Determinación</t>
  </si>
  <si>
    <t>Nueva Propiedad</t>
  </si>
  <si>
    <t>Input:</t>
  </si>
  <si>
    <t>Vector Y (Precio)</t>
  </si>
  <si>
    <t>1s (Intercepto)</t>
  </si>
  <si>
    <t>Área (X1)</t>
  </si>
  <si>
    <t>Habitaciones (X2)</t>
  </si>
  <si>
    <t>X^T</t>
  </si>
  <si>
    <t>Concepto / Paso</t>
  </si>
  <si>
    <t>Función / Fórmula en Excel</t>
  </si>
  <si>
    <t>Código Equivalente en Python</t>
  </si>
  <si>
    <t>Notas Explicativas</t>
  </si>
  <si>
    <t>Modelo de Regresión</t>
  </si>
  <si>
    <t>=ESTIMACION.LINEAL(Y; X; TRUE; TRUE)</t>
  </si>
  <si>
    <t>model = LinearRegression().fit(X, Y)</t>
  </si>
  <si>
    <t>En Python se usa scikit-learn. En Excel LINEST (ESTIMACION.LINEAL) devuelve los coeficientes y estadísticas.</t>
  </si>
  <si>
    <t>Intercepto (Beta 0)</t>
  </si>
  <si>
    <t>Índice 3 de la 1ra fila de ESTIMACION.LINEAL</t>
  </si>
  <si>
    <t>model.intercept_</t>
  </si>
  <si>
    <t>El valor base cuando todas las variables X son 0.</t>
  </si>
  <si>
    <t>Coeficientes (Beta 1, Beta 2)</t>
  </si>
  <si>
    <t>Índices 1 y 2 de la 1ra fila de ESTIMACION.LINEAL</t>
  </si>
  <si>
    <t>model.coef_</t>
  </si>
  <si>
    <t>El impacto de cada variable X en Y.</t>
  </si>
  <si>
    <t>R² (Coef. Determinación)</t>
  </si>
  <si>
    <t>Fila 3, Columna 1 de ESTIMACION.LINEAL</t>
  </si>
  <si>
    <t>model.score(X, Y) o r2_score(Y, Y_pred)</t>
  </si>
  <si>
    <t>Mide qué tan bien el modelo explica los datos.</t>
  </si>
  <si>
    <t>Cálculo Matricial Beta</t>
  </si>
  <si>
    <t>=MMULT(MINVERSA(MMULT(TRANSPONER(X); X)); MMULT(TRANSPONER(X); Y))</t>
  </si>
  <si>
    <t>beta = np.linalg.inv(X.T @ X) @ X.T @ Y</t>
  </si>
  <si>
    <t>Cálculo matemático exacto (Mínimos Cuadrados Ordinarios) bajo el capó.</t>
  </si>
  <si>
    <t>Predicción</t>
  </si>
  <si>
    <t>=Beta0 + Beta1*X1 + Beta2*X2</t>
  </si>
  <si>
    <t>model.predict([[X1, X2]])</t>
  </si>
  <si>
    <t>Se usa la ecuación lineal o el método predict de scikit-learn.</t>
  </si>
  <si>
    <t>X^T * X</t>
  </si>
  <si>
    <t>X^T * Y</t>
  </si>
  <si>
    <t>(X^T * X)^-1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</si>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</sst>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20"/>
      <name val="Roboto"/>
    </font>
  </fonts>
  <fills count="3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2" fillId="0" borderId="0" xfId="0" applyFo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2" fillId="0" borderId="1" xfId="0" quotePrefix="1" applyFont="1" applyBorder="1" applyAlignment="1"/>
    <xf numFmtId="0" fontId="1" fillId="2" borderId="0" xfId="0" applyFont="1" applyFill="1" applyAlignment="1"/>
  </cellXfs>
  <cellStyles count="1">
    <cellStyle name="Normal" xfId="0" builtinId="0"/>
  </cellStyles>
  <dxfs count="21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7">
    <tableStyle name="Datos_y_Modelo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Datos_y_Modelo-style 2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Datos_y_Modelo-style 3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Datos_y_Modelo-style 4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atriz_Algebraica_OLS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Matriz_Algebraica_OLS-style 2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Guia_Comparativa_Python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3">
  <tableColumns count="4">
    <tableColumn id="1" xr3:uid="{00000000-0010-0000-0000-000001000000}" name="ID"/>
    <tableColumn id="2" xr3:uid="{00000000-0010-0000-0000-000002000000}" name="Área (m²)"/>
    <tableColumn id="3" xr3:uid="{00000000-0010-0000-0000-000003000000}" name="Habitaciones"/>
    <tableColumn id="4" xr3:uid="{00000000-0010-0000-0000-000004000000}" name="Precio Real ($)"/>
  </tableColumns>
  <tableStyleInfo name="Datos_y_Model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1:I5">
  <tableColumns count="4">
    <tableColumn id="1" xr3:uid="{00000000-0010-0000-0100-000001000000}" name="Parámetro"/>
    <tableColumn id="2" xr3:uid="{00000000-0010-0000-0100-000002000000}" name="Valor"/>
    <tableColumn id="3" xr3:uid="{00000000-0010-0000-0100-000003000000}" name="Descripción"/>
    <tableColumn id="4" xr3:uid="{00000000-0010-0000-0100-000004000000}" name="Fórmula"/>
  </tableColumns>
  <tableStyleInfo name="Datos_y_Model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1:N13">
  <tableColumns count="4">
    <tableColumn id="1" xr3:uid="{00000000-0010-0000-0200-000001000000}" name="ID"/>
    <tableColumn id="2" xr3:uid="{00000000-0010-0000-0200-000002000000}" name="Precio Real"/>
    <tableColumn id="3" xr3:uid="{00000000-0010-0000-0200-000003000000}" name="Precio Predicho"/>
    <tableColumn id="4" xr3:uid="{00000000-0010-0000-0200-000004000000}" name="Residuo (Error)"/>
  </tableColumns>
  <tableStyleInfo name="Datos_y_Model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8:I9">
  <tableColumns count="4">
    <tableColumn id="1" xr3:uid="{00000000-0010-0000-0300-000001000000}" name="Nueva Propiedad"/>
    <tableColumn id="2" xr3:uid="{00000000-0010-0000-0300-000002000000}" name="Área (m²)"/>
    <tableColumn id="3" xr3:uid="{00000000-0010-0000-0300-000003000000}" name="Habitaciones"/>
    <tableColumn id="4" xr3:uid="{00000000-0010-0000-0300-000004000000}" name="Precio Predicho"/>
  </tableColumns>
  <tableStyleInfo name="Datos_y_Model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B13">
  <tableColumns count="2">
    <tableColumn id="1" xr3:uid="{00000000-0010-0000-0400-000001000000}" name="ID"/>
    <tableColumn id="2" xr3:uid="{00000000-0010-0000-0400-000002000000}" name="Vector Y (Precio)"/>
  </tableColumns>
  <tableStyleInfo name="Matriz_Algebraica_OL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D1:G13">
  <tableColumns count="4">
    <tableColumn id="1" xr3:uid="{00000000-0010-0000-0500-000001000000}" name="ID"/>
    <tableColumn id="2" xr3:uid="{00000000-0010-0000-0500-000002000000}" name="1s (Intercepto)"/>
    <tableColumn id="3" xr3:uid="{00000000-0010-0000-0500-000003000000}" name="Área (X1)"/>
    <tableColumn id="4" xr3:uid="{00000000-0010-0000-0500-000004000000}" name="Habitaciones (X2)"/>
  </tableColumns>
  <tableStyleInfo name="Matriz_Algebraica_OL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">
  <tableColumns count="4">
    <tableColumn id="1" xr3:uid="{00000000-0010-0000-0600-000001000000}" name="Concepto / Paso"/>
    <tableColumn id="2" xr3:uid="{00000000-0010-0000-0600-000002000000}" name="Función / Fórmula en Excel"/>
    <tableColumn id="3" xr3:uid="{00000000-0010-0000-0600-000003000000}" name="Código Equivalente en Python"/>
    <tableColumn id="4" xr3:uid="{00000000-0010-0000-0600-000004000000}" name="Notas Explicativas"/>
  </tableColumns>
  <tableStyleInfo name="Guia_Comparativa_Pyth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H11" sqref="H11"/>
    </sheetView>
  </sheetViews>
  <sheetFormatPr baseColWidth="10" defaultColWidth="12.6640625" defaultRowHeight="15.75" customHeight="1"/>
  <cols>
    <col min="1" max="6" width="15.109375" customWidth="1"/>
    <col min="7" max="7" width="13.44140625" customWidth="1"/>
    <col min="8" max="8" width="26.33203125" customWidth="1"/>
    <col min="9" max="9" width="16.88671875" customWidth="1"/>
    <col min="10" max="14" width="15.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2"/>
      <c r="K1" s="1" t="s">
        <v>0</v>
      </c>
      <c r="L1" s="1" t="s">
        <v>8</v>
      </c>
      <c r="M1" s="1" t="s">
        <v>9</v>
      </c>
      <c r="N1" s="1" t="s">
        <v>10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3">
        <v>50</v>
      </c>
      <c r="C2" s="3">
        <v>1</v>
      </c>
      <c r="D2" s="3">
        <v>175000</v>
      </c>
      <c r="E2" s="2"/>
      <c r="F2" s="4" t="s">
        <v>11</v>
      </c>
      <c r="G2" s="5">
        <f t="array" ref="G2">INDEX(LINEST(D2:D13, B2:C13, TRUE, TRUE), 1, 1)</f>
        <v>12214.188000781713</v>
      </c>
      <c r="H2" s="4" t="s">
        <v>12</v>
      </c>
      <c r="I2" s="6">
        <f>INDEX(LINEST(D2:D13, B2:C13, TRUE, TRUE), 1, 1)</f>
        <v>12214.188000781713</v>
      </c>
      <c r="J2" s="2"/>
      <c r="K2" s="3">
        <v>1</v>
      </c>
      <c r="L2" s="3">
        <v>175000</v>
      </c>
      <c r="M2" s="5">
        <f t="shared" ref="M2:M13" si="0">$G$4 + $G$3*B2 + $G$2*C2</f>
        <v>174012.6050420168</v>
      </c>
      <c r="N2" s="5">
        <f t="shared" ref="N2:N13" si="1">L2-M2</f>
        <v>987.39495798319695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3">
        <v>65</v>
      </c>
      <c r="C3" s="3">
        <v>2</v>
      </c>
      <c r="D3" s="3">
        <v>220000</v>
      </c>
      <c r="E3" s="2"/>
      <c r="F3" s="4" t="s">
        <v>13</v>
      </c>
      <c r="G3" s="5">
        <f t="array" ref="G3">INDEX(LINEST(D2:D13, B2:C13, TRUE, TRUE), 1, 2)</f>
        <v>2466.6308383818641</v>
      </c>
      <c r="H3" s="4" t="s">
        <v>14</v>
      </c>
      <c r="I3" s="6">
        <f>INDEX(LINEST(D2:D13, B2:C13, TRUE, TRUE), 1, 2)</f>
        <v>2466.6308383818641</v>
      </c>
      <c r="J3" s="2"/>
      <c r="K3" s="3">
        <v>2</v>
      </c>
      <c r="L3" s="3">
        <v>220000</v>
      </c>
      <c r="M3" s="5">
        <f t="shared" si="0"/>
        <v>223226.25561852645</v>
      </c>
      <c r="N3" s="5">
        <f t="shared" si="1"/>
        <v>-3226.2556185264548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3">
        <v>70</v>
      </c>
      <c r="C4" s="3">
        <v>2</v>
      </c>
      <c r="D4" s="3">
        <v>235000</v>
      </c>
      <c r="E4" s="2"/>
      <c r="F4" s="4" t="s">
        <v>15</v>
      </c>
      <c r="G4" s="5">
        <f t="array" ref="G4">INDEX(LINEST(D2:D13, B2:C13, TRUE, TRUE), 1, 3)</f>
        <v>38466.875122141864</v>
      </c>
      <c r="H4" s="4" t="s">
        <v>16</v>
      </c>
      <c r="I4" s="6">
        <f>INDEX(LINEST(D2:D13, B2:C13, TRUE, TRUE), 1, 3)</f>
        <v>38466.875122141864</v>
      </c>
      <c r="J4" s="2"/>
      <c r="K4" s="3">
        <v>3</v>
      </c>
      <c r="L4" s="3">
        <v>235000</v>
      </c>
      <c r="M4" s="5">
        <f t="shared" si="0"/>
        <v>235559.40981043575</v>
      </c>
      <c r="N4" s="5">
        <f t="shared" si="1"/>
        <v>-559.40981043575448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4</v>
      </c>
      <c r="B5" s="3">
        <v>80</v>
      </c>
      <c r="C5" s="3">
        <v>3</v>
      </c>
      <c r="D5" s="3">
        <v>275000</v>
      </c>
      <c r="E5" s="2"/>
      <c r="F5" s="4" t="s">
        <v>17</v>
      </c>
      <c r="G5" s="5">
        <f t="array" ref="G5">INDEX(LINEST(D2:D13, B2:C13, TRUE, TRUE), 3, 1)</f>
        <v>0.99974998800395198</v>
      </c>
      <c r="H5" s="4" t="s">
        <v>18</v>
      </c>
      <c r="I5" s="6">
        <f>INDEX(LINEST(D2:D13, B2:C13, TRUE, TRUE), 3, 1)</f>
        <v>0.99974998800395198</v>
      </c>
      <c r="J5" s="2"/>
      <c r="K5" s="3">
        <v>4</v>
      </c>
      <c r="L5" s="3">
        <v>275000</v>
      </c>
      <c r="M5" s="5">
        <f t="shared" si="0"/>
        <v>272439.90619503614</v>
      </c>
      <c r="N5" s="5">
        <f t="shared" si="1"/>
        <v>2560.0938049638644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3">
        <v>95</v>
      </c>
      <c r="C6" s="3">
        <v>3</v>
      </c>
      <c r="D6" s="3">
        <v>310000</v>
      </c>
      <c r="E6" s="2"/>
      <c r="F6" s="2"/>
      <c r="G6" s="2"/>
      <c r="H6" s="2"/>
      <c r="I6" s="2"/>
      <c r="J6" s="2"/>
      <c r="K6" s="3">
        <v>5</v>
      </c>
      <c r="L6" s="3">
        <v>310000</v>
      </c>
      <c r="M6" s="5">
        <f t="shared" si="0"/>
        <v>309439.36877076409</v>
      </c>
      <c r="N6" s="5">
        <f t="shared" si="1"/>
        <v>560.63122923590709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3">
        <v>110</v>
      </c>
      <c r="C7" s="3">
        <v>3</v>
      </c>
      <c r="D7" s="3">
        <v>345000</v>
      </c>
      <c r="E7" s="2"/>
      <c r="F7" s="2"/>
      <c r="G7" s="2"/>
      <c r="H7" s="2"/>
      <c r="I7" s="2"/>
      <c r="J7" s="2"/>
      <c r="K7" s="3">
        <v>6</v>
      </c>
      <c r="L7" s="3">
        <v>345000</v>
      </c>
      <c r="M7" s="5">
        <f t="shared" si="0"/>
        <v>346438.83134649205</v>
      </c>
      <c r="N7" s="5">
        <f t="shared" si="1"/>
        <v>-1438.8313464920502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3">
        <v>120</v>
      </c>
      <c r="C8" s="3">
        <v>4</v>
      </c>
      <c r="D8" s="3">
        <v>385000</v>
      </c>
      <c r="E8" s="2"/>
      <c r="F8" s="1" t="s">
        <v>19</v>
      </c>
      <c r="G8" s="1" t="s">
        <v>1</v>
      </c>
      <c r="H8" s="1" t="s">
        <v>2</v>
      </c>
      <c r="I8" s="1" t="s">
        <v>9</v>
      </c>
      <c r="J8" s="2"/>
      <c r="K8" s="3">
        <v>7</v>
      </c>
      <c r="L8" s="3">
        <v>385000</v>
      </c>
      <c r="M8" s="5">
        <f t="shared" si="0"/>
        <v>383319.3277310924</v>
      </c>
      <c r="N8" s="5">
        <f t="shared" si="1"/>
        <v>1680.6722689075978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8</v>
      </c>
      <c r="B9" s="3">
        <v>135</v>
      </c>
      <c r="C9" s="3">
        <v>4</v>
      </c>
      <c r="D9" s="3">
        <v>420000</v>
      </c>
      <c r="E9" s="2"/>
      <c r="F9" s="4" t="s">
        <v>20</v>
      </c>
      <c r="G9" s="3">
        <v>75</v>
      </c>
      <c r="H9" s="3">
        <v>3</v>
      </c>
      <c r="I9" s="5">
        <f>$G$4 + $G$3*G9 + $G$2*H9</f>
        <v>260106.75200312684</v>
      </c>
      <c r="J9" s="2"/>
      <c r="K9" s="3">
        <v>8</v>
      </c>
      <c r="L9" s="3">
        <v>420000</v>
      </c>
      <c r="M9" s="5">
        <f t="shared" si="0"/>
        <v>420318.79030682036</v>
      </c>
      <c r="N9" s="5">
        <f t="shared" si="1"/>
        <v>-318.79030682035955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3">
        <v>150</v>
      </c>
      <c r="C10" s="3">
        <v>4</v>
      </c>
      <c r="D10" s="3">
        <v>460000</v>
      </c>
      <c r="E10" s="2"/>
      <c r="F10" s="2"/>
      <c r="G10" s="2"/>
      <c r="H10" s="2"/>
      <c r="I10" s="2"/>
      <c r="J10" s="2"/>
      <c r="K10" s="3">
        <v>9</v>
      </c>
      <c r="L10" s="3">
        <v>460000</v>
      </c>
      <c r="M10" s="5">
        <f t="shared" si="0"/>
        <v>457318.25288254832</v>
      </c>
      <c r="N10" s="5">
        <f t="shared" si="1"/>
        <v>2681.7471174516832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10</v>
      </c>
      <c r="B11" s="3">
        <v>165</v>
      </c>
      <c r="C11" s="3">
        <v>5</v>
      </c>
      <c r="D11" s="3">
        <v>505000</v>
      </c>
      <c r="E11" s="2"/>
      <c r="F11" s="2"/>
      <c r="G11" s="2"/>
      <c r="H11" s="2"/>
      <c r="I11" s="2"/>
      <c r="J11" s="2"/>
      <c r="K11" s="3">
        <v>10</v>
      </c>
      <c r="L11" s="3">
        <v>505000</v>
      </c>
      <c r="M11" s="5">
        <f t="shared" si="0"/>
        <v>506531.90345905803</v>
      </c>
      <c r="N11" s="5">
        <f t="shared" si="1"/>
        <v>-1531.9034590580268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3">
        <v>180</v>
      </c>
      <c r="C12" s="3">
        <v>5</v>
      </c>
      <c r="D12" s="3">
        <v>540000</v>
      </c>
      <c r="E12" s="2"/>
      <c r="F12" s="2"/>
      <c r="G12" s="2"/>
      <c r="H12" s="2"/>
      <c r="I12" s="2"/>
      <c r="J12" s="2"/>
      <c r="K12" s="3">
        <v>11</v>
      </c>
      <c r="L12" s="3">
        <v>540000</v>
      </c>
      <c r="M12" s="5">
        <f t="shared" si="0"/>
        <v>543531.36603478598</v>
      </c>
      <c r="N12" s="5">
        <f t="shared" si="1"/>
        <v>-3531.3660347859841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3">
        <v>200</v>
      </c>
      <c r="C13" s="3">
        <v>5</v>
      </c>
      <c r="D13" s="3">
        <v>595000</v>
      </c>
      <c r="E13" s="2"/>
      <c r="F13" s="2"/>
      <c r="G13" s="2"/>
      <c r="H13" s="2"/>
      <c r="I13" s="2"/>
      <c r="J13" s="2"/>
      <c r="K13" s="3">
        <v>12</v>
      </c>
      <c r="L13" s="3">
        <v>595000</v>
      </c>
      <c r="M13" s="5">
        <f t="shared" si="0"/>
        <v>592863.9828024233</v>
      </c>
      <c r="N13" s="5">
        <f t="shared" si="1"/>
        <v>2136.0171975767007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16" sqref="D16"/>
    </sheetView>
  </sheetViews>
  <sheetFormatPr baseColWidth="10" defaultColWidth="12.6640625" defaultRowHeight="15.75" customHeight="1"/>
  <cols>
    <col min="1" max="15" width="15.109375" customWidth="1"/>
  </cols>
  <sheetData>
    <row r="1" spans="1:26">
      <c r="A1" s="1" t="s">
        <v>0</v>
      </c>
      <c r="B1" s="1" t="s">
        <v>21</v>
      </c>
      <c r="C1" s="2"/>
      <c r="D1" s="1" t="s">
        <v>0</v>
      </c>
      <c r="E1" s="1" t="s">
        <v>22</v>
      </c>
      <c r="F1" s="1" t="s">
        <v>23</v>
      </c>
      <c r="G1" s="1" t="s">
        <v>24</v>
      </c>
      <c r="H1" s="2"/>
      <c r="I1" s="7" t="s">
        <v>25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5">
        <f>Datos_y_Modelo!D2</f>
        <v>175000</v>
      </c>
      <c r="C2" s="2"/>
      <c r="D2" s="3">
        <v>1</v>
      </c>
      <c r="E2" s="3">
        <v>1</v>
      </c>
      <c r="F2" s="5">
        <f>Datos_y_Modelo!B2</f>
        <v>50</v>
      </c>
      <c r="G2" s="5">
        <f>Datos_y_Modelo!C2</f>
        <v>1</v>
      </c>
      <c r="H2" s="2"/>
      <c r="I2" s="2">
        <f t="array" ref="I2:T4">TRANSPOSE(E2:G13)</f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/>
      <c r="V2" s="2"/>
      <c r="W2" s="2"/>
      <c r="X2" s="2"/>
      <c r="Y2" s="2"/>
      <c r="Z2" s="2"/>
    </row>
    <row r="3" spans="1:26">
      <c r="A3" s="3">
        <v>2</v>
      </c>
      <c r="B3" s="5">
        <f>Datos_y_Modelo!D3</f>
        <v>220000</v>
      </c>
      <c r="C3" s="2"/>
      <c r="D3" s="3">
        <v>2</v>
      </c>
      <c r="E3" s="3">
        <v>1</v>
      </c>
      <c r="F3" s="5">
        <f>Datos_y_Modelo!B3</f>
        <v>65</v>
      </c>
      <c r="G3" s="5">
        <f>Datos_y_Modelo!C3</f>
        <v>2</v>
      </c>
      <c r="H3" s="2"/>
      <c r="I3" s="2">
        <v>50</v>
      </c>
      <c r="J3" s="2">
        <v>65</v>
      </c>
      <c r="K3" s="2">
        <v>70</v>
      </c>
      <c r="L3" s="2">
        <v>80</v>
      </c>
      <c r="M3" s="2">
        <v>95</v>
      </c>
      <c r="N3" s="2">
        <v>110</v>
      </c>
      <c r="O3" s="2">
        <v>120</v>
      </c>
      <c r="P3" s="2">
        <v>135</v>
      </c>
      <c r="Q3" s="2">
        <v>150</v>
      </c>
      <c r="R3" s="2">
        <v>165</v>
      </c>
      <c r="S3" s="2">
        <v>180</v>
      </c>
      <c r="T3" s="2">
        <v>200</v>
      </c>
      <c r="U3" s="2"/>
      <c r="V3" s="2"/>
      <c r="W3" s="2"/>
      <c r="X3" s="2"/>
      <c r="Y3" s="2"/>
      <c r="Z3" s="2"/>
    </row>
    <row r="4" spans="1:26">
      <c r="A4" s="3">
        <v>3</v>
      </c>
      <c r="B4" s="5">
        <f>Datos_y_Modelo!D4</f>
        <v>235000</v>
      </c>
      <c r="C4" s="2"/>
      <c r="D4" s="3">
        <v>3</v>
      </c>
      <c r="E4" s="3">
        <v>1</v>
      </c>
      <c r="F4" s="5">
        <f>Datos_y_Modelo!B4</f>
        <v>70</v>
      </c>
      <c r="G4" s="5">
        <f>Datos_y_Modelo!C4</f>
        <v>2</v>
      </c>
      <c r="H4" s="2"/>
      <c r="I4" s="2">
        <v>1</v>
      </c>
      <c r="J4" s="2">
        <v>2</v>
      </c>
      <c r="K4" s="2">
        <v>2</v>
      </c>
      <c r="L4" s="2">
        <v>3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5</v>
      </c>
      <c r="S4" s="2">
        <v>5</v>
      </c>
      <c r="T4" s="2">
        <v>5</v>
      </c>
      <c r="U4" s="2"/>
      <c r="V4" s="2"/>
      <c r="W4" s="2"/>
      <c r="X4" s="2"/>
      <c r="Y4" s="2"/>
      <c r="Z4" s="2"/>
    </row>
    <row r="5" spans="1:26">
      <c r="A5" s="3">
        <v>4</v>
      </c>
      <c r="B5" s="5">
        <f>Datos_y_Modelo!D5</f>
        <v>275000</v>
      </c>
      <c r="C5" s="2"/>
      <c r="D5" s="3">
        <v>4</v>
      </c>
      <c r="E5" s="3">
        <v>1</v>
      </c>
      <c r="F5" s="5">
        <f>Datos_y_Modelo!B5</f>
        <v>80</v>
      </c>
      <c r="G5" s="5">
        <f>Datos_y_Modelo!C5</f>
        <v>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5">
        <f>Datos_y_Modelo!D6</f>
        <v>310000</v>
      </c>
      <c r="C6" s="2"/>
      <c r="D6" s="3">
        <v>5</v>
      </c>
      <c r="E6" s="3">
        <v>1</v>
      </c>
      <c r="F6" s="5">
        <f>Datos_y_Modelo!B6</f>
        <v>95</v>
      </c>
      <c r="G6" s="5">
        <f>Datos_y_Modelo!C6</f>
        <v>3</v>
      </c>
      <c r="H6" s="2"/>
      <c r="I6" s="7" t="s">
        <v>54</v>
      </c>
      <c r="J6" s="2"/>
      <c r="K6" s="2"/>
      <c r="L6" s="2"/>
      <c r="M6" s="2"/>
      <c r="N6" s="2"/>
      <c r="O6" s="7" t="s">
        <v>55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5">
        <f>Datos_y_Modelo!D7</f>
        <v>345000</v>
      </c>
      <c r="C7" s="2"/>
      <c r="D7" s="3">
        <v>6</v>
      </c>
      <c r="E7" s="3">
        <v>1</v>
      </c>
      <c r="F7" s="5">
        <f>Datos_y_Modelo!B7</f>
        <v>110</v>
      </c>
      <c r="G7" s="5">
        <f>Datos_y_Modelo!C7</f>
        <v>3</v>
      </c>
      <c r="H7" s="2"/>
      <c r="I7" s="2">
        <f t="array" ref="I7:K9">MMULT(I2:T4, E2:G13)</f>
        <v>12</v>
      </c>
      <c r="J7" s="2">
        <v>1420</v>
      </c>
      <c r="K7" s="2">
        <v>41</v>
      </c>
      <c r="L7" s="2"/>
      <c r="M7" s="2"/>
      <c r="N7" s="2"/>
      <c r="O7" s="2">
        <f t="array" ref="O7:O9">MMULT(I2:T4, B2:B13)</f>
        <v>4465000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5">
        <f>Datos_y_Modelo!D8</f>
        <v>385000</v>
      </c>
      <c r="C8" s="2"/>
      <c r="D8" s="3">
        <v>7</v>
      </c>
      <c r="E8" s="3">
        <v>1</v>
      </c>
      <c r="F8" s="5">
        <f>Datos_y_Modelo!B8</f>
        <v>120</v>
      </c>
      <c r="G8" s="5">
        <f>Datos_y_Modelo!C8</f>
        <v>4</v>
      </c>
      <c r="H8" s="2"/>
      <c r="I8" s="2">
        <v>1420</v>
      </c>
      <c r="J8" s="2">
        <v>193900</v>
      </c>
      <c r="K8" s="2">
        <v>5520</v>
      </c>
      <c r="L8" s="2"/>
      <c r="M8" s="2"/>
      <c r="N8" s="2"/>
      <c r="O8" s="2">
        <v>600325000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8</v>
      </c>
      <c r="B9" s="5">
        <f>Datos_y_Modelo!D9</f>
        <v>420000</v>
      </c>
      <c r="C9" s="2"/>
      <c r="D9" s="3">
        <v>8</v>
      </c>
      <c r="E9" s="3">
        <v>1</v>
      </c>
      <c r="F9" s="5">
        <f>Datos_y_Modelo!B9</f>
        <v>135</v>
      </c>
      <c r="G9" s="5">
        <f>Datos_y_Modelo!C9</f>
        <v>4</v>
      </c>
      <c r="H9" s="2"/>
      <c r="I9" s="2">
        <v>41</v>
      </c>
      <c r="J9" s="2">
        <v>5520</v>
      </c>
      <c r="K9" s="2">
        <v>159</v>
      </c>
      <c r="L9" s="2"/>
      <c r="M9" s="2"/>
      <c r="N9" s="2"/>
      <c r="O9" s="2">
        <v>17135000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5">
        <f>Datos_y_Modelo!D10</f>
        <v>460000</v>
      </c>
      <c r="C10" s="2"/>
      <c r="D10" s="3">
        <v>9</v>
      </c>
      <c r="E10" s="3">
        <v>1</v>
      </c>
      <c r="F10" s="5">
        <f>Datos_y_Modelo!B10</f>
        <v>150</v>
      </c>
      <c r="G10" s="5">
        <f>Datos_y_Modelo!C10</f>
        <v>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10</v>
      </c>
      <c r="B11" s="5">
        <f>Datos_y_Modelo!D11</f>
        <v>505000</v>
      </c>
      <c r="C11" s="2"/>
      <c r="D11" s="3">
        <v>10</v>
      </c>
      <c r="E11" s="3">
        <v>1</v>
      </c>
      <c r="F11" s="5">
        <f>Datos_y_Modelo!B11</f>
        <v>165</v>
      </c>
      <c r="G11" s="5">
        <f>Datos_y_Modelo!C11</f>
        <v>5</v>
      </c>
      <c r="H11" s="2"/>
      <c r="I11" s="7" t="s">
        <v>56</v>
      </c>
      <c r="J11" s="2"/>
      <c r="K11" s="2"/>
      <c r="L11" s="2"/>
      <c r="M11" s="2"/>
      <c r="N11" s="2"/>
      <c r="O11" s="7" t="s">
        <v>57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5">
        <f>Datos_y_Modelo!D12</f>
        <v>540000</v>
      </c>
      <c r="C12" s="2"/>
      <c r="D12" s="3">
        <v>11</v>
      </c>
      <c r="E12" s="3">
        <v>1</v>
      </c>
      <c r="F12" s="5">
        <f>Datos_y_Modelo!B12</f>
        <v>180</v>
      </c>
      <c r="G12" s="5">
        <f>Datos_y_Modelo!C12</f>
        <v>5</v>
      </c>
      <c r="H12" s="2"/>
      <c r="I12" s="2">
        <f t="array" ref="I12:K14">MINVERSE(I7:K9)</f>
        <v>0.70295094782098888</v>
      </c>
      <c r="J12" s="2">
        <v>1.0553058432674774E-3</v>
      </c>
      <c r="K12" s="2">
        <v>-0.2179011139339434</v>
      </c>
      <c r="L12" s="2"/>
      <c r="M12" s="2"/>
      <c r="N12" s="2"/>
      <c r="O12" s="2">
        <f t="array" ref="O12:O14">MMULT(I12:K14, O7:O9)</f>
        <v>38466.875122143421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5">
        <f>Datos_y_Modelo!D13</f>
        <v>595000</v>
      </c>
      <c r="C13" s="2"/>
      <c r="D13" s="3">
        <v>12</v>
      </c>
      <c r="E13" s="3">
        <v>1</v>
      </c>
      <c r="F13" s="5">
        <f>Datos_y_Modelo!B13</f>
        <v>200</v>
      </c>
      <c r="G13" s="5">
        <f>Datos_y_Modelo!C13</f>
        <v>5</v>
      </c>
      <c r="H13" s="2"/>
      <c r="I13" s="2">
        <v>1.0553058432674967E-3</v>
      </c>
      <c r="J13" s="2">
        <v>4.4361930818838683E-4</v>
      </c>
      <c r="K13" s="2">
        <v>-1.5673246042602909E-2</v>
      </c>
      <c r="L13" s="2"/>
      <c r="M13" s="2"/>
      <c r="N13" s="2"/>
      <c r="O13" s="2">
        <v>2466.6308383818832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>
        <v>-0.21790111393394418</v>
      </c>
      <c r="J14" s="2">
        <v>-1.5673246042602902E-2</v>
      </c>
      <c r="K14" s="2">
        <v>0.60660543287081592</v>
      </c>
      <c r="L14" s="2"/>
      <c r="M14" s="2"/>
      <c r="N14" s="2"/>
      <c r="O14" s="2">
        <v>12214.188000781462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12" sqref="C12"/>
    </sheetView>
  </sheetViews>
  <sheetFormatPr baseColWidth="10" defaultColWidth="12.6640625" defaultRowHeight="15.75" customHeight="1"/>
  <cols>
    <col min="1" max="1" width="31.33203125" customWidth="1"/>
    <col min="2" max="2" width="71.44140625" bestFit="1" customWidth="1"/>
    <col min="3" max="3" width="35.109375" bestFit="1" customWidth="1"/>
    <col min="4" max="4" width="31.33203125" customWidth="1"/>
  </cols>
  <sheetData>
    <row r="1" spans="1:26">
      <c r="A1" s="1" t="s">
        <v>26</v>
      </c>
      <c r="B1" s="1" t="s">
        <v>27</v>
      </c>
      <c r="C1" s="1" t="s">
        <v>28</v>
      </c>
      <c r="D1" s="1" t="s">
        <v>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30</v>
      </c>
      <c r="B2" s="6" t="s">
        <v>31</v>
      </c>
      <c r="C2" s="4" t="s">
        <v>32</v>
      </c>
      <c r="D2" s="4" t="s">
        <v>33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34</v>
      </c>
      <c r="B3" s="4" t="s">
        <v>35</v>
      </c>
      <c r="C3" s="4" t="s">
        <v>36</v>
      </c>
      <c r="D3" s="4" t="s">
        <v>37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38</v>
      </c>
      <c r="B4" s="4" t="s">
        <v>39</v>
      </c>
      <c r="C4" s="4" t="s">
        <v>40</v>
      </c>
      <c r="D4" s="4" t="s">
        <v>41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42</v>
      </c>
      <c r="B5" s="4" t="s">
        <v>43</v>
      </c>
      <c r="C5" s="4" t="s">
        <v>44</v>
      </c>
      <c r="D5" s="4" t="s">
        <v>45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46</v>
      </c>
      <c r="B6" s="6" t="s">
        <v>47</v>
      </c>
      <c r="C6" s="4" t="s">
        <v>48</v>
      </c>
      <c r="D6" s="4" t="s">
        <v>49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50</v>
      </c>
      <c r="B7" s="6" t="s">
        <v>51</v>
      </c>
      <c r="C7" s="4" t="s">
        <v>52</v>
      </c>
      <c r="D7" s="4" t="s">
        <v>53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Datos_y_Modelo</vt:lpstr>
      <vt:lpstr>Matriz_Algebraica_OLS</vt:lpstr>
      <vt:lpstr>Guia_Comparativa_Python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 Rojas</cp:lastModifiedBy>
  <dcterms:modified xsi:type="dcterms:W3CDTF">2026-09-22T23:31:42Z</dcterms:modified>
</cp:coreProperties>
</file>